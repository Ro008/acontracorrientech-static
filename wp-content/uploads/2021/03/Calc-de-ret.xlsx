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cíoSirvent\Downloads\"/>
    </mc:Choice>
  </mc:AlternateContent>
  <xr:revisionPtr revIDLastSave="0" documentId="13_ncr:1_{E818D91B-E681-4A1E-BD9D-8A16DF04A302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9" i="1" l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17" i="1" l="1"/>
  <c r="E18" i="1"/>
  <c r="E15" i="1" l="1"/>
  <c r="E16" i="1"/>
  <c r="E14" i="1" l="1"/>
  <c r="E13" i="1"/>
  <c r="E12" i="1"/>
  <c r="E11" i="1"/>
  <c r="E10" i="1"/>
  <c r="D10" i="1" l="1"/>
  <c r="F10" i="1" s="1"/>
  <c r="G10" i="1" s="1"/>
  <c r="D11" i="1" l="1"/>
  <c r="F11" i="1" s="1"/>
  <c r="D12" i="1" l="1"/>
  <c r="F12" i="1" s="1"/>
  <c r="G11" i="1"/>
  <c r="D13" i="1" l="1"/>
  <c r="F13" i="1" s="1"/>
  <c r="G12" i="1"/>
  <c r="D14" i="1" l="1"/>
  <c r="F14" i="1" s="1"/>
  <c r="G14" i="1" s="1"/>
  <c r="G13" i="1"/>
  <c r="D15" i="1" l="1"/>
  <c r="F15" i="1" s="1"/>
  <c r="G15" i="1" s="1"/>
  <c r="D16" i="1" l="1"/>
  <c r="F16" i="1" s="1"/>
  <c r="G16" i="1" s="1"/>
  <c r="D17" i="1" l="1"/>
  <c r="F17" i="1" s="1"/>
  <c r="G17" i="1" s="1"/>
  <c r="D18" i="1" l="1"/>
  <c r="F18" i="1" s="1"/>
  <c r="G18" i="1" s="1"/>
  <c r="D19" i="1" l="1"/>
  <c r="F19" i="1" s="1"/>
  <c r="G19" i="1" s="1"/>
  <c r="D20" i="1" l="1"/>
  <c r="F20" i="1" s="1"/>
  <c r="G20" i="1" s="1"/>
  <c r="D21" i="1" l="1"/>
  <c r="F21" i="1" s="1"/>
  <c r="G21" i="1" s="1"/>
  <c r="D22" i="1" l="1"/>
  <c r="F22" i="1" s="1"/>
  <c r="G22" i="1" s="1"/>
  <c r="D23" i="1" l="1"/>
  <c r="F23" i="1" s="1"/>
  <c r="G23" i="1" s="1"/>
  <c r="D24" i="1" l="1"/>
  <c r="F24" i="1" s="1"/>
  <c r="G24" i="1" s="1"/>
  <c r="D25" i="1" l="1"/>
  <c r="F25" i="1" s="1"/>
  <c r="G25" i="1" s="1"/>
  <c r="D26" i="1"/>
  <c r="F26" i="1" s="1"/>
  <c r="G26" i="1" s="1"/>
  <c r="D27" i="1" l="1"/>
  <c r="F27" i="1" s="1"/>
  <c r="G27" i="1" s="1"/>
  <c r="D28" i="1" l="1"/>
  <c r="F28" i="1" s="1"/>
  <c r="G28" i="1" s="1"/>
  <c r="D29" i="1" l="1"/>
  <c r="F29" i="1" s="1"/>
  <c r="D30" i="1" l="1"/>
  <c r="F30" i="1" s="1"/>
  <c r="G30" i="1" s="1"/>
  <c r="G29" i="1"/>
  <c r="D31" i="1" l="1"/>
  <c r="F31" i="1" s="1"/>
  <c r="G31" i="1" s="1"/>
  <c r="D32" i="1" l="1"/>
  <c r="F32" i="1" s="1"/>
  <c r="G32" i="1" s="1"/>
  <c r="D33" i="1" l="1"/>
  <c r="F33" i="1" s="1"/>
  <c r="G33" i="1" s="1"/>
  <c r="D34" i="1" l="1"/>
  <c r="F34" i="1" s="1"/>
  <c r="G34" i="1" s="1"/>
</calcChain>
</file>

<file path=xl/sharedStrings.xml><?xml version="1.0" encoding="utf-8"?>
<sst xmlns="http://schemas.openxmlformats.org/spreadsheetml/2006/main" count="14" uniqueCount="14">
  <si>
    <t>DINERO INICIAL</t>
  </si>
  <si>
    <t>AÑO</t>
  </si>
  <si>
    <t>INVERSION MENSUAL</t>
  </si>
  <si>
    <t>RENTABILIDAD DIV</t>
  </si>
  <si>
    <t>DIVIDENDOS MENSUALES</t>
  </si>
  <si>
    <t>APORTACION MENSUAL</t>
  </si>
  <si>
    <t>CAPITAL INICIAL</t>
  </si>
  <si>
    <t xml:space="preserve">MODIFICA TUS DATOS </t>
  </si>
  <si>
    <t>.</t>
  </si>
  <si>
    <t>%CREC. DIVID. Y VALOR</t>
  </si>
  <si>
    <t>edad</t>
  </si>
  <si>
    <t>fecha</t>
  </si>
  <si>
    <t>CALCULADORA I.F.</t>
  </si>
  <si>
    <t>DIVIDENDOS ANUALES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</si>
</sst>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-2]\ * #,##0_);_([$€-2]\ * \(#,##0\);_([$€-2]\ * &quot;-&quot;??_);_(@_)"/>
  </numFmts>
  <fonts count="5">
    <font>
      <sz val="11"/>
      <color theme="1"/>
      <name val="Calibri"/>
      <family val="2"/>
      <scheme val="minor"/>
    </font>
    <font>
      <b/>
      <sz val="11"/>
      <color theme="0"/>
      <name val="Comic Sans MS"/>
      <family val="4"/>
    </font>
    <font>
      <b/>
      <i/>
      <sz val="14"/>
      <color theme="3" tint="-0.24994659260841701"/>
      <name val="Trebuchet MS"/>
      <family val="2"/>
    </font>
    <font>
      <b/>
      <i/>
      <sz val="11"/>
      <color theme="0"/>
      <name val="Calibri"/>
      <family val="2"/>
      <scheme val="minor"/>
    </font>
    <font>
      <b/>
      <i/>
      <sz val="36"/>
      <color theme="0"/>
      <name val="Tekton Pro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5999633777886288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10" fontId="0" fillId="0" borderId="0" xfId="0" applyNumberFormat="1"/>
    <xf numFmtId="0" fontId="0" fillId="0" borderId="0" xfId="0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2" fillId="0" borderId="0" xfId="0" applyFont="1" applyAlignment="1">
      <alignment wrapText="1"/>
    </xf>
    <xf numFmtId="0" fontId="3" fillId="4" borderId="1" xfId="0" applyFont="1" applyFill="1" applyBorder="1" applyAlignment="1">
      <alignment vertical="top"/>
    </xf>
    <xf numFmtId="0" fontId="3" fillId="4" borderId="7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3" fontId="0" fillId="5" borderId="0" xfId="0" applyNumberFormat="1" applyFill="1" applyBorder="1"/>
    <xf numFmtId="3" fontId="0" fillId="5" borderId="8" xfId="0" applyNumberFormat="1" applyFill="1" applyBorder="1"/>
    <xf numFmtId="3" fontId="0" fillId="5" borderId="3" xfId="0" applyNumberFormat="1" applyFill="1" applyBorder="1" applyAlignment="1">
      <alignment horizontal="left"/>
    </xf>
    <xf numFmtId="3" fontId="0" fillId="5" borderId="5" xfId="0" applyNumberFormat="1" applyFill="1" applyBorder="1" applyAlignment="1">
      <alignment horizontal="left"/>
    </xf>
    <xf numFmtId="0" fontId="4" fillId="4" borderId="0" xfId="0" applyFont="1" applyFill="1"/>
    <xf numFmtId="3" fontId="0" fillId="5" borderId="4" xfId="0" applyNumberFormat="1" applyFill="1" applyBorder="1"/>
    <xf numFmtId="3" fontId="0" fillId="5" borderId="6" xfId="0" applyNumberFormat="1" applyFill="1" applyBorder="1"/>
    <xf numFmtId="9" fontId="1" fillId="3" borderId="4" xfId="0" applyNumberFormat="1" applyFont="1" applyFill="1" applyBorder="1"/>
    <xf numFmtId="9" fontId="1" fillId="3" borderId="6" xfId="0" applyNumberFormat="1" applyFont="1" applyFill="1" applyBorder="1"/>
    <xf numFmtId="3" fontId="1" fillId="3" borderId="2" xfId="0" applyNumberFormat="1" applyFont="1" applyFill="1" applyBorder="1"/>
    <xf numFmtId="3" fontId="1" fillId="3" borderId="4" xfId="0" applyNumberFormat="1" applyFont="1" applyFill="1" applyBorder="1"/>
    <xf numFmtId="0" fontId="3" fillId="4" borderId="0" xfId="0" applyFont="1" applyFill="1" applyBorder="1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180975</xdr:colOff>
      <xdr:row>1</xdr:row>
      <xdr:rowOff>133350</xdr:rowOff>
    </xdr:from>
    <xdr:to>
      <xdr:col>4</xdr:col>
      <xdr:colOff>523875</xdr:colOff>
      <xdr:row>1</xdr:row>
      <xdr:rowOff>676275</xdr:rowOff>
    </xdr:to>
    <xdr:sp macro="" textlink="">
      <xdr:nvSpPr>
        <xdr:cNvPr id="4" name="3 Flecha abaj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3486150" y="133350"/>
          <a:ext cx="342900" cy="5429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workbookViewId="0">
      <selection activeCell="J11" sqref="J11"/>
    </sheetView>
  </sheetViews>
  <sheetFormatPr defaultColWidth="11.42578125" defaultRowHeight="15"/>
  <cols>
    <col min="1" max="1" width="15.85546875" customWidth="1"/>
    <col min="2" max="2" width="6.42578125" customWidth="1"/>
    <col min="3" max="3" width="12.42578125" customWidth="1"/>
    <col min="4" max="4" width="13.85546875" customWidth="1"/>
    <col min="5" max="5" width="15.5703125" customWidth="1"/>
    <col min="6" max="6" width="12.7109375" customWidth="1"/>
    <col min="7" max="7" width="14.140625" bestFit="1" customWidth="1"/>
  </cols>
  <sheetData>
    <row r="1" spans="1:10" ht="43.5" customHeight="1">
      <c r="A1" s="17"/>
      <c r="B1" s="17"/>
      <c r="C1" s="17" t="s">
        <v>12</v>
      </c>
      <c r="D1" s="17"/>
      <c r="E1" s="17"/>
      <c r="F1" s="17"/>
      <c r="G1" s="17"/>
      <c r="H1" s="17"/>
      <c r="I1" s="17"/>
      <c r="J1" s="17"/>
    </row>
    <row r="2" spans="1:10" ht="61.5" customHeight="1">
      <c r="D2" s="9" t="s">
        <v>7</v>
      </c>
    </row>
    <row r="3" spans="1:10" ht="18">
      <c r="C3" s="3" t="s">
        <v>0</v>
      </c>
      <c r="D3" s="4"/>
      <c r="E3" s="22">
        <v>30000</v>
      </c>
    </row>
    <row r="4" spans="1:10" ht="18">
      <c r="C4" s="5" t="s">
        <v>2</v>
      </c>
      <c r="D4" s="6"/>
      <c r="E4" s="23">
        <v>3000</v>
      </c>
    </row>
    <row r="5" spans="1:10" ht="18">
      <c r="C5" s="5" t="s">
        <v>3</v>
      </c>
      <c r="D5" s="6"/>
      <c r="E5" s="20">
        <v>0.04</v>
      </c>
    </row>
    <row r="6" spans="1:10" ht="18">
      <c r="C6" s="7" t="s">
        <v>9</v>
      </c>
      <c r="D6" s="8"/>
      <c r="E6" s="21">
        <v>0.1</v>
      </c>
    </row>
    <row r="7" spans="1:10">
      <c r="C7" s="2"/>
      <c r="D7" s="2"/>
      <c r="E7" s="1"/>
    </row>
    <row r="9" spans="1:10" ht="27.75" customHeight="1">
      <c r="A9" s="10" t="s">
        <v>11</v>
      </c>
      <c r="B9" s="10" t="s">
        <v>10</v>
      </c>
      <c r="C9" s="10" t="s">
        <v>1</v>
      </c>
      <c r="D9" s="11" t="s">
        <v>6</v>
      </c>
      <c r="E9" s="11" t="s">
        <v>5</v>
      </c>
      <c r="F9" s="12" t="s">
        <v>4</v>
      </c>
      <c r="G9" s="24" t="s">
        <v>13</v>
      </c>
    </row>
    <row r="10" spans="1:10">
      <c r="A10">
        <v>2020</v>
      </c>
      <c r="B10">
        <v>31</v>
      </c>
      <c r="C10" s="15">
        <v>1</v>
      </c>
      <c r="D10" s="13">
        <f>E3</f>
        <v>30000</v>
      </c>
      <c r="E10" s="13">
        <f>$E$4</f>
        <v>3000</v>
      </c>
      <c r="F10" s="18">
        <f>D10*E5/12</f>
        <v>100</v>
      </c>
      <c r="G10" s="25">
        <f>F10*12</f>
        <v>1200</v>
      </c>
    </row>
    <row r="11" spans="1:10">
      <c r="A11">
        <v>2021</v>
      </c>
      <c r="B11">
        <v>32</v>
      </c>
      <c r="C11" s="15">
        <v>2</v>
      </c>
      <c r="D11" s="13">
        <f>(D10+E10*12+F10*12)*(1+$E$6)</f>
        <v>73920</v>
      </c>
      <c r="E11" s="13">
        <f t="shared" ref="E11:E34" si="0">$E$4</f>
        <v>3000</v>
      </c>
      <c r="F11" s="18">
        <f>D11*$E$5/12</f>
        <v>246.4</v>
      </c>
      <c r="G11" s="25">
        <f t="shared" ref="G11:G34" si="1">F11*12</f>
        <v>2956.8</v>
      </c>
    </row>
    <row r="12" spans="1:10">
      <c r="A12">
        <v>2022</v>
      </c>
      <c r="B12">
        <v>33</v>
      </c>
      <c r="C12" s="15">
        <v>3</v>
      </c>
      <c r="D12" s="13">
        <f t="shared" ref="D12:D34" si="2">(D11+E11*12+F11*12)*(1+$E$6)</f>
        <v>124164.48000000001</v>
      </c>
      <c r="E12" s="13">
        <f t="shared" si="0"/>
        <v>3000</v>
      </c>
      <c r="F12" s="18">
        <f t="shared" ref="F12:F34" si="3">D12*$E$5/12</f>
        <v>413.88159999999999</v>
      </c>
      <c r="G12" s="25">
        <f t="shared" si="1"/>
        <v>4966.5792000000001</v>
      </c>
    </row>
    <row r="13" spans="1:10">
      <c r="A13">
        <v>2023</v>
      </c>
      <c r="B13">
        <v>34</v>
      </c>
      <c r="C13" s="15">
        <v>4</v>
      </c>
      <c r="D13" s="13">
        <f t="shared" si="2"/>
        <v>181644.16512000005</v>
      </c>
      <c r="E13" s="13">
        <f t="shared" si="0"/>
        <v>3000</v>
      </c>
      <c r="F13" s="18">
        <f t="shared" si="3"/>
        <v>605.4805504000002</v>
      </c>
      <c r="G13" s="25">
        <f t="shared" si="1"/>
        <v>7265.7666048000028</v>
      </c>
    </row>
    <row r="14" spans="1:10">
      <c r="A14">
        <v>2024</v>
      </c>
      <c r="B14">
        <v>35</v>
      </c>
      <c r="C14" s="15">
        <v>5</v>
      </c>
      <c r="D14" s="13">
        <f t="shared" si="2"/>
        <v>247400.92489728009</v>
      </c>
      <c r="E14" s="13">
        <f t="shared" si="0"/>
        <v>3000</v>
      </c>
      <c r="F14" s="18">
        <f t="shared" si="3"/>
        <v>824.66974965760028</v>
      </c>
      <c r="G14" s="25">
        <f t="shared" si="1"/>
        <v>9896.0369958912033</v>
      </c>
    </row>
    <row r="15" spans="1:10">
      <c r="A15">
        <v>2025</v>
      </c>
      <c r="B15">
        <v>36</v>
      </c>
      <c r="C15" s="15">
        <v>6</v>
      </c>
      <c r="D15" s="13">
        <f t="shared" si="2"/>
        <v>322626.6580824884</v>
      </c>
      <c r="E15" s="13">
        <f t="shared" si="0"/>
        <v>3000</v>
      </c>
      <c r="F15" s="18">
        <f t="shared" si="3"/>
        <v>1075.4221936082947</v>
      </c>
      <c r="G15" s="25">
        <f t="shared" si="1"/>
        <v>12905.066323299536</v>
      </c>
    </row>
    <row r="16" spans="1:10">
      <c r="A16">
        <v>2026</v>
      </c>
      <c r="B16">
        <v>37</v>
      </c>
      <c r="C16" s="15">
        <v>7</v>
      </c>
      <c r="D16" s="13">
        <f t="shared" si="2"/>
        <v>408684.89684636676</v>
      </c>
      <c r="E16" s="13">
        <f t="shared" si="0"/>
        <v>3000</v>
      </c>
      <c r="F16" s="18">
        <f t="shared" si="3"/>
        <v>1362.2829894878892</v>
      </c>
      <c r="G16" s="25">
        <f t="shared" si="1"/>
        <v>16347.39587385467</v>
      </c>
    </row>
    <row r="17" spans="1:7">
      <c r="A17">
        <v>2027</v>
      </c>
      <c r="B17">
        <v>38</v>
      </c>
      <c r="C17" s="15">
        <v>8</v>
      </c>
      <c r="D17" s="13">
        <f t="shared" si="2"/>
        <v>507135.52199224365</v>
      </c>
      <c r="E17" s="13">
        <f t="shared" si="0"/>
        <v>3000</v>
      </c>
      <c r="F17" s="18">
        <f t="shared" si="3"/>
        <v>1690.4517399741455</v>
      </c>
      <c r="G17" s="25">
        <f t="shared" si="1"/>
        <v>20285.420879689747</v>
      </c>
    </row>
    <row r="18" spans="1:7">
      <c r="A18">
        <v>2028</v>
      </c>
      <c r="B18">
        <v>39</v>
      </c>
      <c r="C18" s="15">
        <v>9</v>
      </c>
      <c r="D18" s="13">
        <f t="shared" si="2"/>
        <v>619763.03715912672</v>
      </c>
      <c r="E18" s="13">
        <f t="shared" si="0"/>
        <v>3000</v>
      </c>
      <c r="F18" s="18">
        <f t="shared" si="3"/>
        <v>2065.8767905304226</v>
      </c>
      <c r="G18" s="25">
        <f t="shared" si="1"/>
        <v>24790.521486365069</v>
      </c>
    </row>
    <row r="19" spans="1:7">
      <c r="A19">
        <v>2029</v>
      </c>
      <c r="B19">
        <v>40</v>
      </c>
      <c r="C19" s="15">
        <v>10</v>
      </c>
      <c r="D19" s="13">
        <f t="shared" si="2"/>
        <v>748608.91451004113</v>
      </c>
      <c r="E19" s="13">
        <f t="shared" si="0"/>
        <v>3000</v>
      </c>
      <c r="F19" s="18">
        <f t="shared" si="3"/>
        <v>2495.3630483668039</v>
      </c>
      <c r="G19" s="25">
        <f t="shared" si="1"/>
        <v>29944.356580401647</v>
      </c>
    </row>
    <row r="20" spans="1:7">
      <c r="A20">
        <v>2030</v>
      </c>
      <c r="B20">
        <v>41</v>
      </c>
      <c r="C20" s="15">
        <v>11</v>
      </c>
      <c r="D20" s="13">
        <f t="shared" si="2"/>
        <v>896008.59819948708</v>
      </c>
      <c r="E20" s="13">
        <f t="shared" si="0"/>
        <v>3000</v>
      </c>
      <c r="F20" s="18">
        <f t="shared" si="3"/>
        <v>2986.6953273316235</v>
      </c>
      <c r="G20" s="25">
        <f t="shared" si="1"/>
        <v>35840.343927979484</v>
      </c>
    </row>
    <row r="21" spans="1:7">
      <c r="A21">
        <v>2031</v>
      </c>
      <c r="B21">
        <v>42</v>
      </c>
      <c r="C21" s="15">
        <v>12</v>
      </c>
      <c r="D21" s="13">
        <f t="shared" si="2"/>
        <v>1064633.8363402132</v>
      </c>
      <c r="E21" s="13">
        <f t="shared" si="0"/>
        <v>3000</v>
      </c>
      <c r="F21" s="18">
        <f t="shared" si="3"/>
        <v>3548.7794544673775</v>
      </c>
      <c r="G21" s="25">
        <f t="shared" si="1"/>
        <v>42585.353453608528</v>
      </c>
    </row>
    <row r="22" spans="1:7">
      <c r="A22">
        <v>2032</v>
      </c>
      <c r="B22">
        <v>43</v>
      </c>
      <c r="C22" s="15">
        <v>13</v>
      </c>
      <c r="D22" s="13">
        <f t="shared" si="2"/>
        <v>1257541.108773204</v>
      </c>
      <c r="E22" s="13">
        <f t="shared" si="0"/>
        <v>3000</v>
      </c>
      <c r="F22" s="18">
        <f t="shared" si="3"/>
        <v>4191.8036959106803</v>
      </c>
      <c r="G22" s="25">
        <f t="shared" si="1"/>
        <v>50301.644350928167</v>
      </c>
    </row>
    <row r="23" spans="1:7">
      <c r="A23">
        <v>2033</v>
      </c>
      <c r="B23">
        <v>44</v>
      </c>
      <c r="C23" s="15">
        <v>14</v>
      </c>
      <c r="D23" s="13">
        <f t="shared" si="2"/>
        <v>1478227.0284365457</v>
      </c>
      <c r="E23" s="13">
        <f t="shared" si="0"/>
        <v>3000</v>
      </c>
      <c r="F23" s="18">
        <f t="shared" si="3"/>
        <v>4927.4234281218187</v>
      </c>
      <c r="G23" s="25">
        <f t="shared" si="1"/>
        <v>59129.081137461821</v>
      </c>
    </row>
    <row r="24" spans="1:7">
      <c r="A24">
        <v>2034</v>
      </c>
      <c r="B24">
        <v>45</v>
      </c>
      <c r="C24" s="15">
        <v>15</v>
      </c>
      <c r="D24" s="13">
        <f t="shared" si="2"/>
        <v>1730691.7205314084</v>
      </c>
      <c r="E24" s="13">
        <f t="shared" si="0"/>
        <v>3000</v>
      </c>
      <c r="F24" s="18">
        <f t="shared" si="3"/>
        <v>5768.9724017713625</v>
      </c>
      <c r="G24" s="25">
        <f t="shared" si="1"/>
        <v>69227.668821256346</v>
      </c>
    </row>
    <row r="25" spans="1:7">
      <c r="A25">
        <v>2035</v>
      </c>
      <c r="B25">
        <v>46</v>
      </c>
      <c r="C25" s="15">
        <v>16</v>
      </c>
      <c r="D25" s="13">
        <f t="shared" si="2"/>
        <v>2019511.3282879314</v>
      </c>
      <c r="E25" s="13">
        <f t="shared" si="0"/>
        <v>3000</v>
      </c>
      <c r="F25" s="18">
        <f t="shared" si="3"/>
        <v>6731.7044276264387</v>
      </c>
      <c r="G25" s="25">
        <f t="shared" si="1"/>
        <v>80780.453131517264</v>
      </c>
    </row>
    <row r="26" spans="1:7">
      <c r="A26">
        <v>2036</v>
      </c>
      <c r="B26">
        <v>47</v>
      </c>
      <c r="C26" s="15">
        <v>17</v>
      </c>
      <c r="D26" s="13">
        <f t="shared" si="2"/>
        <v>2349920.9595613936</v>
      </c>
      <c r="E26" s="13">
        <f t="shared" si="0"/>
        <v>3000</v>
      </c>
      <c r="F26" s="18">
        <f t="shared" si="3"/>
        <v>7833.0698652046449</v>
      </c>
      <c r="G26" s="25">
        <f t="shared" si="1"/>
        <v>93996.838382455739</v>
      </c>
    </row>
    <row r="27" spans="1:7">
      <c r="A27">
        <v>2037</v>
      </c>
      <c r="B27">
        <v>48</v>
      </c>
      <c r="C27" s="15">
        <v>18</v>
      </c>
      <c r="D27" s="13">
        <f t="shared" si="2"/>
        <v>2727909.5777382343</v>
      </c>
      <c r="E27" s="13">
        <f t="shared" si="0"/>
        <v>3000</v>
      </c>
      <c r="F27" s="18">
        <f t="shared" si="3"/>
        <v>9093.0319257941137</v>
      </c>
      <c r="G27" s="25">
        <f t="shared" si="1"/>
        <v>109116.38310952936</v>
      </c>
    </row>
    <row r="28" spans="1:7">
      <c r="A28">
        <v>2038</v>
      </c>
      <c r="B28">
        <v>49</v>
      </c>
      <c r="C28" s="15">
        <v>19</v>
      </c>
      <c r="D28" s="13">
        <f t="shared" si="2"/>
        <v>3160328.5569325406</v>
      </c>
      <c r="E28" s="13">
        <f t="shared" si="0"/>
        <v>3000</v>
      </c>
      <c r="F28" s="18">
        <f t="shared" si="3"/>
        <v>10534.428523108469</v>
      </c>
      <c r="G28" s="25">
        <f t="shared" si="1"/>
        <v>126413.14227730162</v>
      </c>
    </row>
    <row r="29" spans="1:7">
      <c r="A29">
        <v>2039</v>
      </c>
      <c r="B29">
        <v>50</v>
      </c>
      <c r="C29" s="15">
        <v>20</v>
      </c>
      <c r="D29" s="13">
        <f t="shared" si="2"/>
        <v>3655015.869130827</v>
      </c>
      <c r="E29" s="13">
        <f t="shared" si="0"/>
        <v>3000</v>
      </c>
      <c r="F29" s="18">
        <f t="shared" si="3"/>
        <v>12183.38623043609</v>
      </c>
      <c r="G29" s="25">
        <f t="shared" si="1"/>
        <v>146200.63476523309</v>
      </c>
    </row>
    <row r="30" spans="1:7">
      <c r="A30">
        <v>2040</v>
      </c>
      <c r="B30">
        <v>51</v>
      </c>
      <c r="C30" s="15">
        <v>21</v>
      </c>
      <c r="D30" s="13">
        <f t="shared" si="2"/>
        <v>4220938.1542856665</v>
      </c>
      <c r="E30" s="13">
        <f t="shared" si="0"/>
        <v>3000</v>
      </c>
      <c r="F30" s="18">
        <f t="shared" si="3"/>
        <v>14069.793847618888</v>
      </c>
      <c r="G30" s="25">
        <f t="shared" si="1"/>
        <v>168837.52617142667</v>
      </c>
    </row>
    <row r="31" spans="1:7">
      <c r="A31">
        <v>2041</v>
      </c>
      <c r="B31">
        <v>52</v>
      </c>
      <c r="C31" s="15">
        <v>22</v>
      </c>
      <c r="D31" s="13">
        <f t="shared" si="2"/>
        <v>4868353.2485028021</v>
      </c>
      <c r="E31" s="13">
        <f t="shared" si="0"/>
        <v>3000</v>
      </c>
      <c r="F31" s="18">
        <f t="shared" si="3"/>
        <v>16227.844161676008</v>
      </c>
      <c r="G31" s="25">
        <f t="shared" si="1"/>
        <v>194734.12994011209</v>
      </c>
    </row>
    <row r="32" spans="1:7">
      <c r="A32">
        <v>2042</v>
      </c>
      <c r="B32">
        <v>53</v>
      </c>
      <c r="C32" s="15">
        <v>23</v>
      </c>
      <c r="D32" s="13">
        <f t="shared" si="2"/>
        <v>5608996.1162872063</v>
      </c>
      <c r="E32" s="13">
        <f t="shared" si="0"/>
        <v>3000</v>
      </c>
      <c r="F32" s="18">
        <f t="shared" si="3"/>
        <v>18696.653720957354</v>
      </c>
      <c r="G32" s="25">
        <f t="shared" si="1"/>
        <v>224359.84465148824</v>
      </c>
    </row>
    <row r="33" spans="1:8">
      <c r="A33">
        <v>2043</v>
      </c>
      <c r="B33">
        <v>54</v>
      </c>
      <c r="C33" s="15">
        <v>24</v>
      </c>
      <c r="D33" s="13">
        <f t="shared" si="2"/>
        <v>6456291.5570325647</v>
      </c>
      <c r="E33" s="13">
        <f t="shared" si="0"/>
        <v>3000</v>
      </c>
      <c r="F33" s="18">
        <f t="shared" si="3"/>
        <v>21520.971856775217</v>
      </c>
      <c r="G33" s="25">
        <f t="shared" si="1"/>
        <v>258251.66228130262</v>
      </c>
    </row>
    <row r="34" spans="1:8">
      <c r="A34">
        <v>2044</v>
      </c>
      <c r="B34">
        <v>55</v>
      </c>
      <c r="C34" s="16">
        <v>25</v>
      </c>
      <c r="D34" s="14">
        <f t="shared" si="2"/>
        <v>7425597.5412452547</v>
      </c>
      <c r="E34" s="14">
        <f t="shared" si="0"/>
        <v>3000</v>
      </c>
      <c r="F34" s="19">
        <f t="shared" si="3"/>
        <v>24751.99180415085</v>
      </c>
      <c r="G34" s="25">
        <f t="shared" si="1"/>
        <v>297023.9016498102</v>
      </c>
      <c r="H34" t="s">
        <v>8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Chapulín</dc:creator>
  <cp:lastModifiedBy>Rocío Sirvent</cp:lastModifiedBy>
  <dcterms:created xsi:type="dcterms:W3CDTF">2014-10-14T19:11:38Z</dcterms:created>
  <dcterms:modified xsi:type="dcterms:W3CDTF">2021-03-07T19:22:15Z</dcterms:modified>
</cp:coreProperties>
</file>